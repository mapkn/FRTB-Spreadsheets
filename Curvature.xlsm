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350" yWindow="1170" windowWidth="11850" windowHeight="5760"/>
  </bookViews>
  <sheets>
    <sheet name="Equities" sheetId="1" r:id="rId1"/>
    <sheet name="Delta GIRR" sheetId="3" r:id="rId2"/>
    <sheet name="Delta Curvature CSR Non Sec" sheetId="4" r:id="rId3"/>
    <sheet name="FX" sheetId="5" r:id="rId4"/>
    <sheet name="DRC" sheetId="2" r:id="rId5"/>
  </sheets>
  <functionGroups builtInGroupCount="17"/>
  <calcPr calcId="145621" calcMode="manual" calcCompleted="0" calcOnSave="0"/>
</workbook>
</file>

<file path=xl/calcChain.xml><?xml version="1.0" encoding="utf-8"?>
<calcChain xmlns="http://schemas.openxmlformats.org/spreadsheetml/2006/main">
  <c r="C6" i="1" l="1"/>
  <c r="D9" i="3" l="1"/>
  <c r="L9" i="1"/>
  <c r="K9" i="1"/>
  <c r="G18" i="1"/>
  <c r="D11" i="3" l="1"/>
  <c r="D10" i="3"/>
  <c r="D8" i="3"/>
  <c r="D7" i="3"/>
  <c r="D6" i="3"/>
  <c r="D5" i="3"/>
  <c r="D4" i="3"/>
  <c r="D3" i="3"/>
  <c r="G20" i="1"/>
  <c r="G21" i="1"/>
  <c r="G3" i="2" l="1"/>
  <c r="J3" i="2"/>
  <c r="F3" i="2"/>
  <c r="G4" i="1"/>
  <c r="L10" i="1" s="1"/>
  <c r="C22" i="1"/>
  <c r="C21" i="1"/>
  <c r="C20" i="1"/>
  <c r="C19" i="1"/>
  <c r="C18" i="1"/>
  <c r="C17" i="1"/>
  <c r="C11" i="1"/>
  <c r="C10" i="1"/>
  <c r="C9" i="1"/>
  <c r="C8" i="1"/>
  <c r="C7" i="1"/>
  <c r="C5" i="1"/>
  <c r="K10" i="1" l="1"/>
  <c r="F18" i="1"/>
  <c r="K18" i="1" s="1"/>
  <c r="L4" i="1"/>
  <c r="F4" i="1"/>
  <c r="K4" i="1" s="1"/>
  <c r="L18" i="1"/>
  <c r="G23" i="1"/>
  <c r="G10" i="1"/>
  <c r="G9" i="1"/>
  <c r="G12" i="1" l="1"/>
  <c r="F10" i="1"/>
  <c r="F9" i="1"/>
  <c r="F21" i="1"/>
  <c r="F20" i="1"/>
</calcChain>
</file>

<file path=xl/comments1.xml><?xml version="1.0" encoding="utf-8"?>
<comments xmlns="http://schemas.openxmlformats.org/spreadsheetml/2006/main">
  <authors>
    <author>Patel Mitul</author>
  </authors>
  <commentList>
    <comment ref="F3" authorId="0">
      <text>
        <r>
          <rPr>
            <b/>
            <sz val="9"/>
            <color indexed="81"/>
            <rFont val="Tahoma"/>
            <charset val="1"/>
          </rPr>
          <t>Patel Mitul:</t>
        </r>
        <r>
          <rPr>
            <sz val="9"/>
            <color indexed="81"/>
            <rFont val="Tahoma"/>
            <charset val="1"/>
          </rPr>
          <t xml:space="preserve">
Forward difference</t>
        </r>
      </text>
    </comment>
    <comment ref="I3" authorId="0">
      <text>
        <r>
          <rPr>
            <b/>
            <sz val="9"/>
            <color indexed="81"/>
            <rFont val="Tahoma"/>
            <charset val="1"/>
          </rPr>
          <t>Patel Mitul:</t>
        </r>
        <r>
          <rPr>
            <sz val="9"/>
            <color indexed="81"/>
            <rFont val="Tahoma"/>
            <charset val="1"/>
          </rPr>
          <t xml:space="preserve">
Risk Weight</t>
        </r>
      </text>
    </comment>
  </commentList>
</comments>
</file>

<file path=xl/comments2.xml><?xml version="1.0" encoding="utf-8"?>
<comments xmlns="http://schemas.openxmlformats.org/spreadsheetml/2006/main">
  <authors>
    <author>Patel Mitul</author>
  </authors>
  <commentList>
    <comment ref="C2" authorId="0">
      <text>
        <r>
          <rPr>
            <b/>
            <sz val="9"/>
            <color indexed="81"/>
            <rFont val="Tahoma"/>
            <charset val="1"/>
          </rPr>
          <t>Patel Mitul:</t>
        </r>
        <r>
          <rPr>
            <sz val="9"/>
            <color indexed="81"/>
            <rFont val="Tahoma"/>
            <charset val="1"/>
          </rPr>
          <t xml:space="preserve">
From 1bp shift in Z(t)</t>
        </r>
      </text>
    </comment>
  </commentList>
</comments>
</file>

<file path=xl/sharedStrings.xml><?xml version="1.0" encoding="utf-8"?>
<sst xmlns="http://schemas.openxmlformats.org/spreadsheetml/2006/main" count="53" uniqueCount="38">
  <si>
    <t>Delta</t>
  </si>
  <si>
    <t>UL</t>
  </si>
  <si>
    <t>PV</t>
  </si>
  <si>
    <t>Shift %</t>
  </si>
  <si>
    <t>deltaC_deltaS</t>
  </si>
  <si>
    <t>Curvature Up</t>
  </si>
  <si>
    <t>Curvature Down</t>
  </si>
  <si>
    <t>Weighted Sensi</t>
  </si>
  <si>
    <t>Product</t>
  </si>
  <si>
    <t>Equity</t>
  </si>
  <si>
    <t>Equity Option</t>
  </si>
  <si>
    <t>Bond Option</t>
  </si>
  <si>
    <t>LGD</t>
  </si>
  <si>
    <t>Bond 1</t>
  </si>
  <si>
    <t>Bond 2</t>
  </si>
  <si>
    <t>Issuer</t>
  </si>
  <si>
    <t>Apple</t>
  </si>
  <si>
    <t>Gross JTD</t>
  </si>
  <si>
    <t>Cumulative PL</t>
  </si>
  <si>
    <t>Notional</t>
  </si>
  <si>
    <t>JTD/R</t>
  </si>
  <si>
    <t>Market Value</t>
  </si>
  <si>
    <t>Underlying</t>
  </si>
  <si>
    <t>Z(t)</t>
  </si>
  <si>
    <t>t</t>
  </si>
  <si>
    <t>PV Change</t>
  </si>
  <si>
    <t>S0 (Initial Price)</t>
  </si>
  <si>
    <t>Stock1</t>
  </si>
  <si>
    <t>Stock2</t>
  </si>
  <si>
    <t>Sample Shock Records</t>
  </si>
  <si>
    <t>Delta Sensi</t>
  </si>
  <si>
    <t>Curvature RC</t>
  </si>
  <si>
    <t>RW</t>
  </si>
  <si>
    <t>CVR_k</t>
  </si>
  <si>
    <t>deltaC/1% (s_k)</t>
  </si>
  <si>
    <t>Up</t>
  </si>
  <si>
    <t>Down</t>
  </si>
  <si>
    <t>Delta (s_k,r)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</si>
</sst>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#,##0_ ;[Red]\-#,##0\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9" fontId="0" fillId="0" borderId="0" xfId="0" applyNumberFormat="1"/>
    <xf numFmtId="16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0" xfId="0" applyNumberFormat="1" applyBorder="1"/>
    <xf numFmtId="164" fontId="0" fillId="0" borderId="5" xfId="0" applyNumberFormat="1" applyBorder="1"/>
    <xf numFmtId="164" fontId="0" fillId="0" borderId="8" xfId="0" applyNumberFormat="1" applyBorder="1"/>
    <xf numFmtId="164" fontId="0" fillId="0" borderId="5" xfId="0" applyNumberFormat="1" applyFill="1" applyBorder="1"/>
    <xf numFmtId="10" fontId="0" fillId="0" borderId="6" xfId="0" applyNumberFormat="1" applyBorder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Equities!$B$4</c:f>
              <c:strCache>
                <c:ptCount val="1"/>
                <c:pt idx="0">
                  <c:v>PV</c:v>
                </c:pt>
              </c:strCache>
            </c:strRef>
          </c:tx>
          <c:marker>
            <c:symbol val="none"/>
          </c:marker>
          <c:xVal>
            <c:numRef>
              <c:f>Equities!$A$17:$A$22</c:f>
              <c:numCache>
                <c:formatCode>0%</c:formatCode>
                <c:ptCount val="6"/>
                <c:pt idx="0">
                  <c:v>-0.03</c:v>
                </c:pt>
                <c:pt idx="1">
                  <c:v>-0.01</c:v>
                </c:pt>
                <c:pt idx="2">
                  <c:v>0</c:v>
                </c:pt>
                <c:pt idx="3">
                  <c:v>0.01</c:v>
                </c:pt>
                <c:pt idx="4">
                  <c:v>0.02</c:v>
                </c:pt>
                <c:pt idx="5">
                  <c:v>0.03</c:v>
                </c:pt>
              </c:numCache>
            </c:numRef>
          </c:xVal>
          <c:yVal>
            <c:numRef>
              <c:f>Equities!$B$17:$B$22</c:f>
              <c:numCache>
                <c:formatCode>General</c:formatCode>
                <c:ptCount val="6"/>
                <c:pt idx="0">
                  <c:v>900</c:v>
                </c:pt>
                <c:pt idx="1">
                  <c:v>800</c:v>
                </c:pt>
                <c:pt idx="2">
                  <c:v>700</c:v>
                </c:pt>
                <c:pt idx="3">
                  <c:v>500</c:v>
                </c:pt>
                <c:pt idx="4">
                  <c:v>300</c:v>
                </c:pt>
                <c:pt idx="5">
                  <c:v>250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729216"/>
        <c:axId val="294016896"/>
      </c:scatterChart>
      <c:valAx>
        <c:axId val="76672921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94016896"/>
        <c:crosses val="autoZero"/>
        <c:crossBetween val="midCat"/>
      </c:valAx>
      <c:valAx>
        <c:axId val="294016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67292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Equities!$B$4</c:f>
              <c:strCache>
                <c:ptCount val="1"/>
                <c:pt idx="0">
                  <c:v>PV</c:v>
                </c:pt>
              </c:strCache>
            </c:strRef>
          </c:tx>
          <c:marker>
            <c:symbol val="none"/>
          </c:marker>
          <c:xVal>
            <c:numRef>
              <c:f>Equities!$A$5:$A$11</c:f>
              <c:numCache>
                <c:formatCode>0%</c:formatCode>
                <c:ptCount val="7"/>
                <c:pt idx="0">
                  <c:v>-0.03</c:v>
                </c:pt>
                <c:pt idx="1">
                  <c:v>-0.02</c:v>
                </c:pt>
                <c:pt idx="2">
                  <c:v>-0.01</c:v>
                </c:pt>
                <c:pt idx="3">
                  <c:v>0</c:v>
                </c:pt>
                <c:pt idx="4">
                  <c:v>0.01</c:v>
                </c:pt>
                <c:pt idx="5">
                  <c:v>0.02</c:v>
                </c:pt>
                <c:pt idx="6">
                  <c:v>0.03</c:v>
                </c:pt>
              </c:numCache>
            </c:numRef>
          </c:xVal>
          <c:yVal>
            <c:numRef>
              <c:f>Equities!$B$5:$B$11</c:f>
              <c:numCache>
                <c:formatCode>General</c:formatCode>
                <c:ptCount val="7"/>
                <c:pt idx="0">
                  <c:v>700</c:v>
                </c:pt>
                <c:pt idx="1">
                  <c:v>560</c:v>
                </c:pt>
                <c:pt idx="2">
                  <c:v>400</c:v>
                </c:pt>
                <c:pt idx="3">
                  <c:v>450</c:v>
                </c:pt>
                <c:pt idx="4">
                  <c:v>700</c:v>
                </c:pt>
                <c:pt idx="5">
                  <c:v>850</c:v>
                </c:pt>
                <c:pt idx="6">
                  <c:v>1000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600768"/>
        <c:axId val="581599232"/>
      </c:scatterChart>
      <c:valAx>
        <c:axId val="581600768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581599232"/>
        <c:crosses val="autoZero"/>
        <c:crossBetween val="midCat"/>
      </c:valAx>
      <c:valAx>
        <c:axId val="581599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16007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10" Type="http://schemas.openxmlformats.org/officeDocument/2006/relationships/chart" Target="../charts/chart2.xml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20</xdr:row>
      <xdr:rowOff>171450</xdr:rowOff>
    </xdr:from>
    <xdr:to>
      <xdr:col>25</xdr:col>
      <xdr:colOff>590550</xdr:colOff>
      <xdr:row>35</xdr:row>
      <xdr:rowOff>57150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137583</xdr:colOff>
      <xdr:row>45</xdr:row>
      <xdr:rowOff>52917</xdr:rowOff>
    </xdr:from>
    <xdr:to>
      <xdr:col>19</xdr:col>
      <xdr:colOff>114726</xdr:colOff>
      <xdr:row>54</xdr:row>
      <xdr:rowOff>43179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13333" y="8053917"/>
          <a:ext cx="5057143" cy="1704762"/>
        </a:xfrm>
        <a:prstGeom prst="rect">
          <a:avLst/>
        </a:prstGeom>
      </xdr:spPr>
    </xdr:pic>
    <xdr:clientData/>
  </xdr:twoCellAnchor>
  <xdr:twoCellAnchor editAs="oneCell">
    <xdr:from>
      <xdr:col>12</xdr:col>
      <xdr:colOff>179917</xdr:colOff>
      <xdr:row>55</xdr:row>
      <xdr:rowOff>45507</xdr:rowOff>
    </xdr:from>
    <xdr:to>
      <xdr:col>20</xdr:col>
      <xdr:colOff>378381</xdr:colOff>
      <xdr:row>65</xdr:row>
      <xdr:rowOff>84666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55667" y="9951507"/>
          <a:ext cx="5892298" cy="1944159"/>
        </a:xfrm>
        <a:prstGeom prst="rect">
          <a:avLst/>
        </a:prstGeom>
      </xdr:spPr>
    </xdr:pic>
    <xdr:clientData/>
  </xdr:twoCellAnchor>
  <xdr:twoCellAnchor editAs="oneCell">
    <xdr:from>
      <xdr:col>1</xdr:col>
      <xdr:colOff>66674</xdr:colOff>
      <xdr:row>47</xdr:row>
      <xdr:rowOff>0</xdr:rowOff>
    </xdr:from>
    <xdr:to>
      <xdr:col>10</xdr:col>
      <xdr:colOff>882896</xdr:colOff>
      <xdr:row>49</xdr:row>
      <xdr:rowOff>171450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0507" y="8382000"/>
          <a:ext cx="7695389" cy="5524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52</xdr:row>
      <xdr:rowOff>76199</xdr:rowOff>
    </xdr:from>
    <xdr:to>
      <xdr:col>11</xdr:col>
      <xdr:colOff>11641</xdr:colOff>
      <xdr:row>59</xdr:row>
      <xdr:rowOff>78631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1458" y="9410699"/>
          <a:ext cx="7848600" cy="1335932"/>
        </a:xfrm>
        <a:prstGeom prst="rect">
          <a:avLst/>
        </a:prstGeom>
      </xdr:spPr>
    </xdr:pic>
    <xdr:clientData/>
  </xdr:twoCellAnchor>
  <xdr:twoCellAnchor editAs="oneCell">
    <xdr:from>
      <xdr:col>12</xdr:col>
      <xdr:colOff>136525</xdr:colOff>
      <xdr:row>65</xdr:row>
      <xdr:rowOff>164041</xdr:rowOff>
    </xdr:from>
    <xdr:to>
      <xdr:col>22</xdr:col>
      <xdr:colOff>168275</xdr:colOff>
      <xdr:row>72</xdr:row>
      <xdr:rowOff>78201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12275" y="11975041"/>
          <a:ext cx="6953250" cy="12476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64</xdr:row>
      <xdr:rowOff>0</xdr:rowOff>
    </xdr:from>
    <xdr:to>
      <xdr:col>5</xdr:col>
      <xdr:colOff>924393</xdr:colOff>
      <xdr:row>70</xdr:row>
      <xdr:rowOff>85572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3833" y="11620500"/>
          <a:ext cx="4723810" cy="1228572"/>
        </a:xfrm>
        <a:prstGeom prst="rect">
          <a:avLst/>
        </a:prstGeom>
      </xdr:spPr>
    </xdr:pic>
    <xdr:clientData/>
  </xdr:twoCellAnchor>
  <xdr:twoCellAnchor editAs="oneCell">
    <xdr:from>
      <xdr:col>12</xdr:col>
      <xdr:colOff>116418</xdr:colOff>
      <xdr:row>42</xdr:row>
      <xdr:rowOff>105833</xdr:rowOff>
    </xdr:from>
    <xdr:to>
      <xdr:col>14</xdr:col>
      <xdr:colOff>21167</xdr:colOff>
      <xdr:row>44</xdr:row>
      <xdr:rowOff>77794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292168" y="7535333"/>
          <a:ext cx="1132416" cy="352961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592666</xdr:colOff>
      <xdr:row>33</xdr:row>
      <xdr:rowOff>126999</xdr:rowOff>
    </xdr:from>
    <xdr:to>
      <xdr:col>21</xdr:col>
      <xdr:colOff>285750</xdr:colOff>
      <xdr:row>39</xdr:row>
      <xdr:rowOff>188518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154583" y="5841999"/>
          <a:ext cx="7006167" cy="1204519"/>
        </a:xfrm>
        <a:prstGeom prst="rect">
          <a:avLst/>
        </a:prstGeom>
      </xdr:spPr>
    </xdr:pic>
    <xdr:clientData/>
  </xdr:twoCellAnchor>
  <xdr:twoCellAnchor>
    <xdr:from>
      <xdr:col>17</xdr:col>
      <xdr:colOff>232833</xdr:colOff>
      <xdr:row>2</xdr:row>
      <xdr:rowOff>46567</xdr:rowOff>
    </xdr:from>
    <xdr:to>
      <xdr:col>24</xdr:col>
      <xdr:colOff>508000</xdr:colOff>
      <xdr:row>16</xdr:row>
      <xdr:rowOff>122767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0</xdr:rowOff>
    </xdr:from>
    <xdr:to>
      <xdr:col>16</xdr:col>
      <xdr:colOff>561143</xdr:colOff>
      <xdr:row>17</xdr:row>
      <xdr:rowOff>180572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0" y="190500"/>
          <a:ext cx="6657143" cy="322857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20</xdr:row>
      <xdr:rowOff>0</xdr:rowOff>
    </xdr:from>
    <xdr:to>
      <xdr:col>13</xdr:col>
      <xdr:colOff>456610</xdr:colOff>
      <xdr:row>26</xdr:row>
      <xdr:rowOff>85572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43325" y="3810000"/>
          <a:ext cx="4723810" cy="12285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</xdr:colOff>
      <xdr:row>1</xdr:row>
      <xdr:rowOff>1</xdr:rowOff>
    </xdr:from>
    <xdr:to>
      <xdr:col>11</xdr:col>
      <xdr:colOff>523875</xdr:colOff>
      <xdr:row>4</xdr:row>
      <xdr:rowOff>141103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2" y="190501"/>
          <a:ext cx="6619873" cy="712602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20</xdr:row>
      <xdr:rowOff>66676</xdr:rowOff>
    </xdr:from>
    <xdr:to>
      <xdr:col>12</xdr:col>
      <xdr:colOff>9525</xdr:colOff>
      <xdr:row>26</xdr:row>
      <xdr:rowOff>23566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" y="3876676"/>
          <a:ext cx="6743700" cy="10998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1</xdr:rowOff>
    </xdr:from>
    <xdr:to>
      <xdr:col>12</xdr:col>
      <xdr:colOff>0</xdr:colOff>
      <xdr:row>15</xdr:row>
      <xdr:rowOff>145379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524001"/>
          <a:ext cx="6705600" cy="14788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76202</xdr:colOff>
      <xdr:row>22</xdr:row>
      <xdr:rowOff>19051</xdr:rowOff>
    </xdr:from>
    <xdr:to>
      <xdr:col>10</xdr:col>
      <xdr:colOff>47626</xdr:colOff>
      <xdr:row>31</xdr:row>
      <xdr:rowOff>184468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2" y="4210051"/>
          <a:ext cx="5457824" cy="187991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3"/>
  <sheetViews>
    <sheetView tabSelected="1" zoomScale="90" zoomScaleNormal="90" workbookViewId="0">
      <selection activeCell="L13" sqref="L13"/>
    </sheetView>
  </sheetViews>
  <sheetFormatPr defaultRowHeight="15" x14ac:dyDescent="0.25"/>
  <cols>
    <col min="2" max="2" width="15.42578125" bestFit="1" customWidth="1"/>
    <col min="3" max="3" width="10.7109375" bestFit="1" customWidth="1"/>
    <col min="4" max="5" width="15.42578125" bestFit="1" customWidth="1"/>
    <col min="6" max="6" width="14" bestFit="1" customWidth="1"/>
    <col min="7" max="7" width="15" bestFit="1" customWidth="1"/>
    <col min="8" max="8" width="5.5703125" customWidth="1"/>
    <col min="9" max="9" width="7.42578125" bestFit="1" customWidth="1"/>
    <col min="10" max="10" width="4.140625" customWidth="1"/>
    <col min="11" max="12" width="15" bestFit="1" customWidth="1"/>
    <col min="15" max="16" width="15" bestFit="1" customWidth="1"/>
  </cols>
  <sheetData>
    <row r="1" spans="1:12" x14ac:dyDescent="0.25">
      <c r="A1" t="s">
        <v>29</v>
      </c>
      <c r="E1" s="6" t="s">
        <v>30</v>
      </c>
      <c r="F1" s="7"/>
      <c r="G1" s="8"/>
      <c r="I1" s="6"/>
      <c r="J1" s="7"/>
      <c r="K1" s="7"/>
      <c r="L1" s="8"/>
    </row>
    <row r="2" spans="1:12" x14ac:dyDescent="0.25">
      <c r="E2" s="9"/>
      <c r="F2" s="10"/>
      <c r="G2" s="11"/>
      <c r="I2" s="9"/>
      <c r="J2" s="10"/>
      <c r="K2" s="10"/>
      <c r="L2" s="11"/>
    </row>
    <row r="3" spans="1:12" x14ac:dyDescent="0.25">
      <c r="A3" t="s">
        <v>27</v>
      </c>
      <c r="B3" t="s">
        <v>26</v>
      </c>
      <c r="C3">
        <v>3</v>
      </c>
      <c r="E3" s="9"/>
      <c r="F3" s="10" t="s">
        <v>4</v>
      </c>
      <c r="G3" s="11" t="s">
        <v>34</v>
      </c>
      <c r="I3" s="9" t="s">
        <v>32</v>
      </c>
      <c r="J3" s="10"/>
      <c r="K3" s="10" t="s">
        <v>7</v>
      </c>
      <c r="L3" s="11" t="s">
        <v>7</v>
      </c>
    </row>
    <row r="4" spans="1:12" x14ac:dyDescent="0.25">
      <c r="A4" t="s">
        <v>3</v>
      </c>
      <c r="B4" t="s">
        <v>2</v>
      </c>
      <c r="C4" t="s">
        <v>22</v>
      </c>
      <c r="E4" s="12" t="s">
        <v>0</v>
      </c>
      <c r="F4" s="13">
        <f ca="1">(B9-B8)/(C9-C8)</f>
        <v>8333.3333333332648</v>
      </c>
      <c r="G4" s="14">
        <f ca="1">(B9-B8)/0.01</f>
        <v>25000</v>
      </c>
      <c r="I4" s="19">
        <v>0.03</v>
      </c>
      <c r="J4" s="13"/>
      <c r="K4" s="13">
        <f ca="1">F4*I4*C8</f>
        <v>749.99999999999375</v>
      </c>
      <c r="L4" s="14">
        <f ca="1">G4*I4</f>
        <v>750</v>
      </c>
    </row>
    <row r="5" spans="1:12" x14ac:dyDescent="0.25">
      <c r="A5" s="1">
        <v>-0.03</v>
      </c>
      <c r="B5">
        <v>700</v>
      </c>
      <c r="C5">
        <f ca="1">$C$3*(1+A5)</f>
        <v>2.91</v>
      </c>
    </row>
    <row r="6" spans="1:12" x14ac:dyDescent="0.25">
      <c r="A6" s="1">
        <v>-0.02</v>
      </c>
      <c r="B6">
        <v>560</v>
      </c>
      <c r="C6">
        <f ca="1">$C$3*(1+A6)</f>
        <v>2.94</v>
      </c>
    </row>
    <row r="7" spans="1:12" x14ac:dyDescent="0.25">
      <c r="A7" s="1">
        <v>-0.01</v>
      </c>
      <c r="B7">
        <v>400</v>
      </c>
      <c r="C7">
        <f ca="1">$C$3*(1+A7)</f>
        <v>2.9699999999999998</v>
      </c>
      <c r="E7" s="6" t="s">
        <v>31</v>
      </c>
      <c r="F7" s="7"/>
      <c r="G7" s="8"/>
    </row>
    <row r="8" spans="1:12" x14ac:dyDescent="0.25">
      <c r="A8" s="1">
        <v>0</v>
      </c>
      <c r="B8">
        <v>450</v>
      </c>
      <c r="C8">
        <f ca="1">$C$3*(1+A8)</f>
        <v>3</v>
      </c>
      <c r="E8" s="9"/>
      <c r="F8" s="10"/>
      <c r="G8" s="11"/>
      <c r="K8" t="s">
        <v>35</v>
      </c>
      <c r="L8" t="s">
        <v>36</v>
      </c>
    </row>
    <row r="9" spans="1:12" x14ac:dyDescent="0.25">
      <c r="A9" s="1">
        <v>0.01</v>
      </c>
      <c r="B9">
        <v>700</v>
      </c>
      <c r="C9">
        <f ca="1">$C$3*(1+A9)</f>
        <v>3.0300000000000002</v>
      </c>
      <c r="E9" s="9" t="s">
        <v>5</v>
      </c>
      <c r="F9" s="15">
        <f ca="1">(B11-B8-F4*(C8-C11))</f>
        <v>1299.9999999999927</v>
      </c>
      <c r="G9" s="18">
        <f ca="1">(Linterp($B$5:$B$11,$A$5:$A$11,$I$4)-B8-G4*$I$4)</f>
        <v>-200</v>
      </c>
      <c r="K9">
        <f ca="1">B11-B8</f>
        <v>550</v>
      </c>
      <c r="L9">
        <f ca="1">B5-B8</f>
        <v>250</v>
      </c>
    </row>
    <row r="10" spans="1:12" x14ac:dyDescent="0.25">
      <c r="A10" s="1">
        <v>0.02</v>
      </c>
      <c r="B10">
        <v>850</v>
      </c>
      <c r="C10">
        <f ca="1">$C$3*(1+A10)</f>
        <v>3.06</v>
      </c>
      <c r="E10" s="9" t="s">
        <v>6</v>
      </c>
      <c r="F10" s="15">
        <f ca="1">(B5-B8-F4*(C5-C8))</f>
        <v>999.99999999999261</v>
      </c>
      <c r="G10" s="16">
        <f ca="1">(Linterp($B$5:$B$11,$A$5:$A$11,-$I$4)-B8-G4*A5)</f>
        <v>1000</v>
      </c>
      <c r="K10">
        <f ca="1">K9-G4*I4</f>
        <v>-200</v>
      </c>
      <c r="L10" s="20">
        <f ca="1">L9--I4*G4</f>
        <v>1000</v>
      </c>
    </row>
    <row r="11" spans="1:12" x14ac:dyDescent="0.25">
      <c r="A11" s="1">
        <v>0.03</v>
      </c>
      <c r="B11">
        <v>1000</v>
      </c>
      <c r="C11">
        <f ca="1">$C$3*(1+A11)</f>
        <v>3.09</v>
      </c>
      <c r="E11" s="9"/>
      <c r="F11" s="15"/>
      <c r="G11" s="11"/>
    </row>
    <row r="12" spans="1:12" x14ac:dyDescent="0.25">
      <c r="E12" s="12"/>
      <c r="F12" s="13" t="s">
        <v>33</v>
      </c>
      <c r="G12" s="17">
        <f ca="1">-MIN(G9,G10)</f>
        <v>200</v>
      </c>
    </row>
    <row r="15" spans="1:12" x14ac:dyDescent="0.25">
      <c r="A15" t="s">
        <v>28</v>
      </c>
      <c r="B15" t="s">
        <v>26</v>
      </c>
      <c r="C15">
        <v>6</v>
      </c>
      <c r="E15" s="6" t="s">
        <v>30</v>
      </c>
      <c r="F15" s="7"/>
      <c r="G15" s="8"/>
      <c r="I15" s="6"/>
      <c r="J15" s="7"/>
      <c r="K15" s="7"/>
      <c r="L15" s="8"/>
    </row>
    <row r="16" spans="1:12" x14ac:dyDescent="0.25">
      <c r="A16" t="s">
        <v>3</v>
      </c>
      <c r="B16" t="s">
        <v>2</v>
      </c>
      <c r="C16" t="s">
        <v>1</v>
      </c>
      <c r="E16" s="9"/>
      <c r="F16" s="10"/>
      <c r="G16" s="11"/>
      <c r="I16" s="9"/>
      <c r="J16" s="10"/>
      <c r="K16" s="10"/>
      <c r="L16" s="11"/>
    </row>
    <row r="17" spans="1:12" x14ac:dyDescent="0.25">
      <c r="A17" s="1">
        <v>-0.03</v>
      </c>
      <c r="B17">
        <v>900</v>
      </c>
      <c r="C17">
        <f ca="1">$C$15*(1+A17)</f>
        <v>5.82</v>
      </c>
      <c r="E17" s="9"/>
      <c r="F17" s="10" t="s">
        <v>4</v>
      </c>
      <c r="G17" s="11" t="s">
        <v>34</v>
      </c>
      <c r="I17" s="9" t="s">
        <v>32</v>
      </c>
      <c r="J17" s="10"/>
      <c r="K17" s="10" t="s">
        <v>7</v>
      </c>
      <c r="L17" s="11" t="s">
        <v>7</v>
      </c>
    </row>
    <row r="18" spans="1:12" x14ac:dyDescent="0.25">
      <c r="A18" s="1">
        <v>-0.01</v>
      </c>
      <c r="B18">
        <v>800</v>
      </c>
      <c r="C18">
        <f ca="1">$C$15*(1+A18)</f>
        <v>5.9399999999999995</v>
      </c>
      <c r="E18" s="12" t="s">
        <v>0</v>
      </c>
      <c r="F18" s="13">
        <f ca="1">(B20-B19)/(C20-C19)</f>
        <v>-3333.3333333333057</v>
      </c>
      <c r="G18" s="14">
        <f ca="1">(B20-B19)/0.01</f>
        <v>-20000</v>
      </c>
      <c r="I18" s="19">
        <v>2.7E-2</v>
      </c>
      <c r="J18" s="13"/>
      <c r="K18" s="13">
        <f ca="1">F18*I18*C19</f>
        <v>-539.99999999999557</v>
      </c>
      <c r="L18" s="14">
        <f ca="1">G18*I18</f>
        <v>-540</v>
      </c>
    </row>
    <row r="19" spans="1:12" x14ac:dyDescent="0.25">
      <c r="A19" s="1">
        <v>0</v>
      </c>
      <c r="B19">
        <v>700</v>
      </c>
      <c r="C19">
        <f ca="1">$C$15*(1+A19)</f>
        <v>6</v>
      </c>
    </row>
    <row r="20" spans="1:12" x14ac:dyDescent="0.25">
      <c r="A20" s="1">
        <v>0.01</v>
      </c>
      <c r="B20">
        <v>500</v>
      </c>
      <c r="C20">
        <f ca="1">$C$15*(1+A20)</f>
        <v>6.0600000000000005</v>
      </c>
      <c r="E20" t="s">
        <v>5</v>
      </c>
      <c r="F20" s="2">
        <f ca="1">(B17-B20-F18*(C17-C20))</f>
        <v>-399.99999999999409</v>
      </c>
      <c r="G20" s="18">
        <f ca="1">(Linterp($B$17:$B$22,$A$17:$A$22,$I$18)-B19-G18*$I$18)</f>
        <v>105</v>
      </c>
    </row>
    <row r="21" spans="1:12" x14ac:dyDescent="0.25">
      <c r="A21" s="1">
        <v>0.02</v>
      </c>
      <c r="B21">
        <v>300</v>
      </c>
      <c r="C21">
        <f ca="1">$C$15*(1+A21)</f>
        <v>6.12</v>
      </c>
      <c r="E21" t="s">
        <v>6</v>
      </c>
      <c r="F21" s="2">
        <f ca="1">(B22-B20-F18*(C22-C20))</f>
        <v>149.99999999999409</v>
      </c>
      <c r="G21" s="16">
        <f ca="1">(Linterp($B$17:$B$22,$A$17:$A$22,-$I$18)-B19-G18*I18)</f>
        <v>725</v>
      </c>
    </row>
    <row r="22" spans="1:12" x14ac:dyDescent="0.25">
      <c r="A22" s="1">
        <v>0.03</v>
      </c>
      <c r="B22">
        <v>250</v>
      </c>
      <c r="C22">
        <f ca="1">$C$15*(1+A22)</f>
        <v>6.18</v>
      </c>
    </row>
    <row r="23" spans="1:12" x14ac:dyDescent="0.25">
      <c r="F23" t="s">
        <v>33</v>
      </c>
      <c r="G23" s="2">
        <f ca="1">-MIN(G20,G21)</f>
        <v>-105</v>
      </c>
    </row>
  </sheetData>
  <sortState ref="B3:D8">
    <sortCondition ref="D3:D8"/>
  </sortState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D11"/>
  <sheetViews>
    <sheetView workbookViewId="0">
      <selection activeCell="D16" sqref="D16"/>
    </sheetView>
  </sheetViews>
  <sheetFormatPr defaultRowHeight="15" x14ac:dyDescent="0.25"/>
  <cols>
    <col min="3" max="3" width="10.42578125" bestFit="1" customWidth="1"/>
  </cols>
  <sheetData>
    <row r="2" spans="1:4" x14ac:dyDescent="0.25">
      <c r="A2" t="s">
        <v>24</v>
      </c>
      <c r="B2" t="s">
        <v>23</v>
      </c>
      <c r="C2" t="s">
        <v>25</v>
      </c>
      <c r="D2" t="s">
        <v>37</v>
      </c>
    </row>
    <row r="3" spans="1:4" x14ac:dyDescent="0.25">
      <c r="A3">
        <v>0.25</v>
      </c>
      <c r="B3" s="1">
        <v>0.02</v>
      </c>
      <c r="C3">
        <v>0</v>
      </c>
      <c r="D3" s="5">
        <f>C3/0.0001</f>
        <v>0</v>
      </c>
    </row>
    <row r="4" spans="1:4" x14ac:dyDescent="0.25">
      <c r="A4">
        <v>0.5</v>
      </c>
      <c r="B4" s="1">
        <v>0.02</v>
      </c>
      <c r="C4">
        <v>1</v>
      </c>
      <c r="D4" s="5">
        <f t="shared" ref="D4:D11" si="0">C4/0.0001</f>
        <v>10000</v>
      </c>
    </row>
    <row r="5" spans="1:4" x14ac:dyDescent="0.25">
      <c r="A5">
        <v>0.75</v>
      </c>
      <c r="B5" s="1">
        <v>0.02</v>
      </c>
      <c r="C5">
        <v>2</v>
      </c>
      <c r="D5" s="5">
        <f t="shared" si="0"/>
        <v>20000</v>
      </c>
    </row>
    <row r="6" spans="1:4" x14ac:dyDescent="0.25">
      <c r="A6">
        <v>1</v>
      </c>
      <c r="B6" s="1">
        <v>0.02</v>
      </c>
      <c r="C6">
        <v>2</v>
      </c>
      <c r="D6" s="5">
        <f t="shared" si="0"/>
        <v>20000</v>
      </c>
    </row>
    <row r="7" spans="1:4" x14ac:dyDescent="0.25">
      <c r="A7">
        <v>2</v>
      </c>
      <c r="B7" s="1">
        <v>0.02</v>
      </c>
      <c r="C7">
        <v>5</v>
      </c>
      <c r="D7" s="5">
        <f t="shared" si="0"/>
        <v>50000</v>
      </c>
    </row>
    <row r="8" spans="1:4" x14ac:dyDescent="0.25">
      <c r="A8">
        <v>3</v>
      </c>
      <c r="B8" s="1">
        <v>0.02</v>
      </c>
      <c r="C8">
        <v>5</v>
      </c>
      <c r="D8" s="5">
        <f t="shared" si="0"/>
        <v>50000</v>
      </c>
    </row>
    <row r="9" spans="1:4" x14ac:dyDescent="0.25">
      <c r="A9">
        <v>5</v>
      </c>
      <c r="B9" s="1">
        <v>0.02</v>
      </c>
      <c r="C9">
        <v>-10</v>
      </c>
      <c r="D9" s="5">
        <f ca="1">C9/0.0001</f>
        <v>-100000</v>
      </c>
    </row>
    <row r="10" spans="1:4" x14ac:dyDescent="0.25">
      <c r="A10">
        <v>7</v>
      </c>
      <c r="B10" s="1">
        <v>0.02</v>
      </c>
      <c r="C10">
        <v>3</v>
      </c>
      <c r="D10" s="5">
        <f t="shared" si="0"/>
        <v>30000</v>
      </c>
    </row>
    <row r="11" spans="1:4" x14ac:dyDescent="0.25">
      <c r="A11">
        <v>10</v>
      </c>
      <c r="B11" s="1">
        <v>0.02</v>
      </c>
      <c r="C11">
        <v>4</v>
      </c>
      <c r="D11" s="5">
        <f t="shared" si="0"/>
        <v>40000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Normal="100" workbookViewId="0">
      <selection activeCell="J17" sqref="J1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Normal="100" workbookViewId="0">
      <selection activeCell="B4" sqref="B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7"/>
  <sheetViews>
    <sheetView workbookViewId="0">
      <selection activeCell="D9" sqref="D9"/>
    </sheetView>
  </sheetViews>
  <sheetFormatPr defaultRowHeight="15" x14ac:dyDescent="0.25"/>
  <cols>
    <col min="2" max="2" width="13.28515625" bestFit="1" customWidth="1"/>
    <col min="3" max="3" width="13.28515625" customWidth="1"/>
    <col min="4" max="5" width="13.28515625" style="5" customWidth="1"/>
    <col min="6" max="6" width="13.28515625" customWidth="1"/>
    <col min="9" max="9" width="14.5703125" bestFit="1" customWidth="1"/>
    <col min="10" max="10" width="9.5703125" bestFit="1" customWidth="1"/>
  </cols>
  <sheetData>
    <row r="2" spans="2:10" x14ac:dyDescent="0.25">
      <c r="B2" s="3" t="s">
        <v>8</v>
      </c>
      <c r="C2" s="3" t="s">
        <v>15</v>
      </c>
      <c r="D2" s="4" t="s">
        <v>19</v>
      </c>
      <c r="E2" s="4" t="s">
        <v>21</v>
      </c>
      <c r="F2" s="3" t="s">
        <v>18</v>
      </c>
      <c r="G2" t="s">
        <v>20</v>
      </c>
      <c r="H2" t="s">
        <v>12</v>
      </c>
      <c r="J2" t="s">
        <v>17</v>
      </c>
    </row>
    <row r="3" spans="2:10" x14ac:dyDescent="0.25">
      <c r="B3" t="s">
        <v>13</v>
      </c>
      <c r="C3" t="s">
        <v>16</v>
      </c>
      <c r="D3" s="5">
        <v>10000000</v>
      </c>
      <c r="E3" s="5">
        <v>5000000</v>
      </c>
      <c r="F3" s="5">
        <f>E3-D3</f>
        <v>-5000000</v>
      </c>
      <c r="G3" s="1">
        <f>1-H3</f>
        <v>0.25</v>
      </c>
      <c r="H3" s="1">
        <v>0.75</v>
      </c>
      <c r="J3" s="5">
        <f>MAX(H3*D3+F3,0)</f>
        <v>2500000</v>
      </c>
    </row>
    <row r="4" spans="2:10" x14ac:dyDescent="0.25">
      <c r="B4" t="s">
        <v>14</v>
      </c>
      <c r="C4" t="s">
        <v>16</v>
      </c>
      <c r="D4" s="5">
        <v>-10000000</v>
      </c>
      <c r="F4" s="5"/>
    </row>
    <row r="5" spans="2:10" x14ac:dyDescent="0.25">
      <c r="B5" t="s">
        <v>9</v>
      </c>
      <c r="F5" s="5"/>
    </row>
    <row r="6" spans="2:10" x14ac:dyDescent="0.25">
      <c r="B6" t="s">
        <v>10</v>
      </c>
      <c r="F6" s="5"/>
    </row>
    <row r="7" spans="2:10" x14ac:dyDescent="0.25">
      <c r="B7" t="s">
        <v>11</v>
      </c>
      <c r="F7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Equities</vt:lpstr>
      <vt:lpstr>Delta GIRR</vt:lpstr>
      <vt:lpstr>Delta Curvature CSR Non Sec</vt:lpstr>
      <vt:lpstr>FX</vt:lpstr>
      <vt:lpstr>DRC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Patel Mitul</dc:creator>
  <cp:lastModifiedBy>Patel Mitul</cp:lastModifiedBy>
  <dcterms:created xsi:type="dcterms:W3CDTF">2018-09-07T10:34:46Z</dcterms:created>
  <dcterms:modified xsi:type="dcterms:W3CDTF">2018-11-15T14:16:53Z</dcterms:modified>
</cp:coreProperties>
</file>